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LAPY\Downloads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0" i="1"/>
  <c r="D19" i="1"/>
  <c r="D18" i="1"/>
  <c r="D17" i="1"/>
  <c r="D21" i="1"/>
  <c r="D22" i="1"/>
  <c r="D23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<sst xmlns="http://schemas.openxmlformats.org/spreadsheetml/2006/main" count="53" uniqueCount="52">
  <si>
    <t>Years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</si>
  <si>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</si>
  <si>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</si>
  <si>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</si>
  <si>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</si>
  <si>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</si>
  <si>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</si>
  <si>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</si>
  <si>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</si>
  <si>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Budget Allocation for MDM (India) (in Crores)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</si>
  <si>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</si>
  <si>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</si>
  <si>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</si>
  <si>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</si>
  <si>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</si>
  <si>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</si>
  <si>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</si>
  <si>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</si>
  <si>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</si>
  <si>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</si>
  <si>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</si>
  <si>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</si>
  <si>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2003-2004</t>
  </si>
  <si>
    <t>2004-2005</t>
  </si>
  <si>
    <t>Elementary GER (Tamil Nadu) (in Percentage)</t>
  </si>
  <si>
    <t>Ln(BAMDM)</t>
  </si>
  <si>
    <t>Ln(EGER)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</si>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</sst>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91" zoomScaleNormal="91" workbookViewId="0">
      <selection activeCell="E24" sqref="E24"/>
    </sheetView>
  </sheetViews>
  <sheetFormatPr defaultRowHeight="15" x14ac:dyDescent="0.25"/>
  <cols>
    <col min="1" max="1" width="14.28515625" customWidth="1"/>
    <col min="2" max="2" width="41.7109375" customWidth="1"/>
    <col min="3" max="3" width="41.42578125" customWidth="1"/>
    <col min="4" max="4" width="14.5703125" customWidth="1"/>
  </cols>
  <sheetData>
    <row r="1" spans="1:5" x14ac:dyDescent="0.25">
      <c r="A1" t="s">
        <v>0</v>
      </c>
      <c r="B1" t="s">
        <v>9</v>
      </c>
      <c r="C1" t="s">
        <v>24</v>
      </c>
      <c r="D1" t="s">
        <v>25</v>
      </c>
      <c r="E1" t="s">
        <v>26</v>
      </c>
    </row>
    <row r="2" spans="1:5" x14ac:dyDescent="0.25">
      <c r="A2" t="s">
        <v>22</v>
      </c>
      <c r="B2">
        <v>1375</v>
      </c>
      <c r="C2">
        <v>116.51</v>
      </c>
      <c r="D2">
        <f>LN(1375)</f>
        <v>7.2262090101006713</v>
      </c>
      <c r="E2">
        <f t="shared" ref="E2:E23" si="0">LN(C2)</f>
        <v>4.7579771062318494</v>
      </c>
    </row>
    <row r="3" spans="1:5" x14ac:dyDescent="0.25">
      <c r="A3" t="s">
        <v>23</v>
      </c>
      <c r="B3">
        <v>3057</v>
      </c>
      <c r="C3">
        <v>118.41</v>
      </c>
      <c r="D3">
        <f>LN(3057)</f>
        <v>8.025189321890835</v>
      </c>
      <c r="E3">
        <f t="shared" si="0"/>
        <v>4.774153178342865</v>
      </c>
    </row>
    <row r="4" spans="1:5" x14ac:dyDescent="0.25">
      <c r="A4" t="s">
        <v>1</v>
      </c>
      <c r="B4">
        <v>3345.26</v>
      </c>
      <c r="C4">
        <v>120.07</v>
      </c>
      <c r="D4">
        <f t="shared" ref="D4:D23" si="1">LN(B4)</f>
        <v>8.1152996974938354</v>
      </c>
      <c r="E4">
        <f t="shared" si="0"/>
        <v>4.7880749060426266</v>
      </c>
    </row>
    <row r="5" spans="1:5" x14ac:dyDescent="0.25">
      <c r="A5" t="s">
        <v>2</v>
      </c>
      <c r="B5">
        <v>5348</v>
      </c>
      <c r="C5">
        <v>117.81</v>
      </c>
      <c r="D5">
        <f t="shared" si="1"/>
        <v>8.5844779382218341</v>
      </c>
      <c r="E5">
        <f t="shared" si="0"/>
        <v>4.7690731572580276</v>
      </c>
    </row>
    <row r="6" spans="1:5" x14ac:dyDescent="0.25">
      <c r="A6" t="s">
        <v>3</v>
      </c>
      <c r="B6">
        <v>6678</v>
      </c>
      <c r="C6">
        <v>116.14</v>
      </c>
      <c r="D6">
        <f t="shared" si="1"/>
        <v>8.8065738205035995</v>
      </c>
      <c r="E6">
        <f t="shared" si="0"/>
        <v>4.7547963599439038</v>
      </c>
    </row>
    <row r="7" spans="1:5" x14ac:dyDescent="0.25">
      <c r="A7" t="s">
        <v>4</v>
      </c>
      <c r="B7">
        <v>8000</v>
      </c>
      <c r="C7">
        <v>115.1</v>
      </c>
      <c r="D7">
        <f t="shared" si="1"/>
        <v>8.987196820661973</v>
      </c>
      <c r="E7">
        <f t="shared" si="0"/>
        <v>4.7458013157278369</v>
      </c>
    </row>
    <row r="8" spans="1:5" x14ac:dyDescent="0.25">
      <c r="A8" t="s">
        <v>5</v>
      </c>
      <c r="B8">
        <v>7359.19</v>
      </c>
      <c r="C8">
        <v>114.7</v>
      </c>
      <c r="D8">
        <f t="shared" si="1"/>
        <v>8.9037051513186718</v>
      </c>
      <c r="E8">
        <f t="shared" si="0"/>
        <v>4.7423200241353252</v>
      </c>
    </row>
    <row r="9" spans="1:5" x14ac:dyDescent="0.25">
      <c r="A9" t="s">
        <v>6</v>
      </c>
      <c r="B9">
        <v>9440</v>
      </c>
      <c r="C9">
        <v>111.8</v>
      </c>
      <c r="D9">
        <f t="shared" si="1"/>
        <v>9.1527112591395472</v>
      </c>
      <c r="E9">
        <f t="shared" si="0"/>
        <v>4.7167115607209986</v>
      </c>
    </row>
    <row r="10" spans="1:5" x14ac:dyDescent="0.25">
      <c r="A10" t="s">
        <v>7</v>
      </c>
      <c r="B10">
        <v>10380</v>
      </c>
      <c r="C10">
        <v>115.7</v>
      </c>
      <c r="D10">
        <f t="shared" si="1"/>
        <v>9.2476361567198797</v>
      </c>
      <c r="E10">
        <f t="shared" si="0"/>
        <v>4.7510006341996309</v>
      </c>
    </row>
    <row r="11" spans="1:5" x14ac:dyDescent="0.25">
      <c r="A11" t="s">
        <v>8</v>
      </c>
      <c r="B11">
        <v>11937</v>
      </c>
      <c r="C11">
        <v>115.8</v>
      </c>
      <c r="D11">
        <f t="shared" si="1"/>
        <v>9.387398099095039</v>
      </c>
      <c r="E11">
        <f t="shared" si="0"/>
        <v>4.7518645651388951</v>
      </c>
    </row>
    <row r="12" spans="1:5" x14ac:dyDescent="0.25">
      <c r="A12" t="s">
        <v>10</v>
      </c>
      <c r="B12">
        <v>13215</v>
      </c>
      <c r="C12">
        <v>114.7</v>
      </c>
      <c r="D12">
        <f t="shared" si="1"/>
        <v>9.4891078270383904</v>
      </c>
      <c r="E12">
        <f t="shared" si="0"/>
        <v>4.7423200241353252</v>
      </c>
    </row>
    <row r="13" spans="1:5" x14ac:dyDescent="0.25">
      <c r="A13" t="s">
        <v>11</v>
      </c>
      <c r="B13">
        <v>13215</v>
      </c>
      <c r="C13">
        <v>110.1</v>
      </c>
      <c r="D13">
        <f t="shared" si="1"/>
        <v>9.4891078270383904</v>
      </c>
      <c r="E13">
        <f t="shared" si="0"/>
        <v>4.7013890437286339</v>
      </c>
    </row>
    <row r="14" spans="1:5" x14ac:dyDescent="0.25">
      <c r="A14" t="s">
        <v>12</v>
      </c>
      <c r="B14">
        <v>9236</v>
      </c>
      <c r="C14">
        <v>104.9</v>
      </c>
      <c r="D14">
        <f t="shared" si="1"/>
        <v>9.1308641704743856</v>
      </c>
      <c r="E14">
        <f t="shared" si="0"/>
        <v>4.6530075154022512</v>
      </c>
    </row>
    <row r="15" spans="1:5" x14ac:dyDescent="0.25">
      <c r="A15" t="s">
        <v>13</v>
      </c>
      <c r="B15">
        <v>9700</v>
      </c>
      <c r="C15">
        <v>103.2</v>
      </c>
      <c r="D15">
        <f t="shared" si="1"/>
        <v>9.1798811644914746</v>
      </c>
      <c r="E15">
        <f t="shared" si="0"/>
        <v>4.6366688530474622</v>
      </c>
    </row>
    <row r="16" spans="1:5" x14ac:dyDescent="0.25">
      <c r="A16" t="s">
        <v>14</v>
      </c>
      <c r="B16">
        <v>10000</v>
      </c>
      <c r="C16">
        <v>102.5</v>
      </c>
      <c r="D16">
        <f t="shared" si="1"/>
        <v>9.2103403719761836</v>
      </c>
      <c r="E16">
        <f t="shared" si="0"/>
        <v>4.6298627985784631</v>
      </c>
    </row>
    <row r="17" spans="1:5" x14ac:dyDescent="0.25">
      <c r="A17" t="s">
        <v>15</v>
      </c>
      <c r="B17">
        <v>10500</v>
      </c>
      <c r="C17">
        <v>100.3</v>
      </c>
      <c r="D17">
        <f t="shared" si="1"/>
        <v>9.259130536145614</v>
      </c>
      <c r="E17">
        <f t="shared" si="0"/>
        <v>4.60816569496789</v>
      </c>
    </row>
    <row r="18" spans="1:5" x14ac:dyDescent="0.25">
      <c r="A18" t="s">
        <v>16</v>
      </c>
      <c r="B18">
        <v>11000</v>
      </c>
      <c r="C18">
        <v>99.5</v>
      </c>
      <c r="D18">
        <f t="shared" si="1"/>
        <v>9.3056505517805075</v>
      </c>
      <c r="E18">
        <f t="shared" si="0"/>
        <v>4.6001576441645469</v>
      </c>
    </row>
    <row r="19" spans="1:5" x14ac:dyDescent="0.25">
      <c r="A19" t="s">
        <v>17</v>
      </c>
      <c r="B19">
        <v>12900</v>
      </c>
      <c r="C19">
        <v>100.1</v>
      </c>
      <c r="D19">
        <f t="shared" si="1"/>
        <v>9.4649825903497629</v>
      </c>
      <c r="E19">
        <f t="shared" si="0"/>
        <v>4.6061696863211745</v>
      </c>
    </row>
    <row r="20" spans="1:5" x14ac:dyDescent="0.25">
      <c r="A20" t="s">
        <v>18</v>
      </c>
      <c r="B20">
        <v>11500</v>
      </c>
      <c r="C20">
        <v>99</v>
      </c>
      <c r="D20">
        <f t="shared" si="1"/>
        <v>9.3501023143513411</v>
      </c>
      <c r="E20">
        <f t="shared" si="0"/>
        <v>4.5951198501345898</v>
      </c>
    </row>
    <row r="21" spans="1:5" x14ac:dyDescent="0.25">
      <c r="A21" t="s">
        <v>19</v>
      </c>
      <c r="B21">
        <v>10233.75</v>
      </c>
      <c r="C21">
        <v>95.9</v>
      </c>
      <c r="D21">
        <f t="shared" si="1"/>
        <v>9.2334463606906585</v>
      </c>
      <c r="E21">
        <f t="shared" si="0"/>
        <v>4.5633059818893926</v>
      </c>
    </row>
    <row r="22" spans="1:5" x14ac:dyDescent="0.25">
      <c r="A22" t="s">
        <v>20</v>
      </c>
      <c r="B22">
        <v>11600</v>
      </c>
      <c r="C22">
        <v>95.8</v>
      </c>
      <c r="D22">
        <f t="shared" si="1"/>
        <v>9.3587603770944554</v>
      </c>
      <c r="E22">
        <f t="shared" si="0"/>
        <v>4.5622626849768144</v>
      </c>
    </row>
    <row r="23" spans="1:5" x14ac:dyDescent="0.25">
      <c r="A23" t="s">
        <v>21</v>
      </c>
      <c r="B23">
        <v>12467.39</v>
      </c>
      <c r="C23">
        <v>91.6</v>
      </c>
      <c r="D23">
        <f t="shared" si="1"/>
        <v>9.4308717144417127</v>
      </c>
      <c r="E23">
        <f t="shared" si="0"/>
        <v>4.5174312716800848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4" sqref="B4"/>
    </sheetView>
  </sheetViews>
  <sheetFormatPr defaultRowHeight="15" x14ac:dyDescent="0.25"/>
  <cols>
    <col min="1" max="1" width="14.42578125" customWidth="1"/>
    <col min="2" max="2" width="17.140625" customWidth="1"/>
  </cols>
  <sheetData>
    <row r="1" spans="1:9" x14ac:dyDescent="0.25">
      <c r="A1" t="s">
        <v>27</v>
      </c>
    </row>
    <row r="2" spans="1:9" ht="15.75" thickBot="1" x14ac:dyDescent="0.3"/>
    <row r="3" spans="1:9" x14ac:dyDescent="0.25">
      <c r="A3" s="4" t="s">
        <v>28</v>
      </c>
      <c r="B3" s="4"/>
    </row>
    <row r="4" spans="1:9" x14ac:dyDescent="0.25">
      <c r="A4" s="1" t="s">
        <v>29</v>
      </c>
      <c r="B4" s="1">
        <v>0.56114035770998194</v>
      </c>
    </row>
    <row r="5" spans="1:9" x14ac:dyDescent="0.25">
      <c r="A5" s="1" t="s">
        <v>30</v>
      </c>
      <c r="B5" s="1">
        <v>0.31487850105088649</v>
      </c>
    </row>
    <row r="6" spans="1:9" x14ac:dyDescent="0.25">
      <c r="A6" s="1" t="s">
        <v>31</v>
      </c>
      <c r="B6" s="1">
        <v>0.2806224261034308</v>
      </c>
    </row>
    <row r="7" spans="1:9" x14ac:dyDescent="0.25">
      <c r="A7" s="1" t="s">
        <v>32</v>
      </c>
      <c r="B7" s="1">
        <v>7.1077577727631208E-2</v>
      </c>
    </row>
    <row r="8" spans="1:9" ht="15.75" thickBot="1" x14ac:dyDescent="0.3">
      <c r="A8" s="2" t="s">
        <v>33</v>
      </c>
      <c r="B8" s="2">
        <v>22</v>
      </c>
    </row>
    <row r="10" spans="1:9" ht="15.75" thickBot="1" x14ac:dyDescent="0.3">
      <c r="A10" t="s">
        <v>34</v>
      </c>
    </row>
    <row r="11" spans="1:9" x14ac:dyDescent="0.25">
      <c r="A11" s="3"/>
      <c r="B11" s="3" t="s">
        <v>39</v>
      </c>
      <c r="C11" s="3" t="s">
        <v>40</v>
      </c>
      <c r="D11" s="3" t="s">
        <v>41</v>
      </c>
      <c r="E11" s="3" t="s">
        <v>42</v>
      </c>
      <c r="F11" s="3" t="s">
        <v>43</v>
      </c>
    </row>
    <row r="12" spans="1:9" x14ac:dyDescent="0.25">
      <c r="A12" s="1" t="s">
        <v>35</v>
      </c>
      <c r="B12" s="1">
        <v>1</v>
      </c>
      <c r="C12" s="1">
        <v>4.643769417809919E-2</v>
      </c>
      <c r="D12" s="1">
        <v>4.643769417809919E-2</v>
      </c>
      <c r="E12" s="1">
        <v>9.1919025029536758</v>
      </c>
      <c r="F12" s="1">
        <v>6.5862994600360729E-3</v>
      </c>
    </row>
    <row r="13" spans="1:9" x14ac:dyDescent="0.25">
      <c r="A13" s="1" t="s">
        <v>36</v>
      </c>
      <c r="B13" s="1">
        <v>20</v>
      </c>
      <c r="C13" s="1">
        <v>0.10104044111254913</v>
      </c>
      <c r="D13" s="1">
        <v>5.0520220556274564E-3</v>
      </c>
      <c r="E13" s="1"/>
      <c r="F13" s="1"/>
    </row>
    <row r="14" spans="1:9" ht="15.75" thickBot="1" x14ac:dyDescent="0.3">
      <c r="A14" s="2" t="s">
        <v>37</v>
      </c>
      <c r="B14" s="2">
        <v>21</v>
      </c>
      <c r="C14" s="2">
        <v>0.14747813529064832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44</v>
      </c>
      <c r="C16" s="3" t="s">
        <v>32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49</v>
      </c>
      <c r="I16" s="3" t="s">
        <v>50</v>
      </c>
    </row>
    <row r="17" spans="1:9" x14ac:dyDescent="0.25">
      <c r="A17" s="1" t="s">
        <v>38</v>
      </c>
      <c r="B17" s="1">
        <v>5.4270840174030219</v>
      </c>
      <c r="C17" s="1">
        <v>0.2467660553755919</v>
      </c>
      <c r="D17" s="1">
        <v>21.992830452886611</v>
      </c>
      <c r="E17" s="1">
        <v>1.7486275366847496E-15</v>
      </c>
      <c r="F17" s="1">
        <v>4.9123390458635532</v>
      </c>
      <c r="G17" s="1">
        <v>5.9418289889424907</v>
      </c>
      <c r="H17" s="1">
        <v>4.9123390458635532</v>
      </c>
      <c r="I17" s="1">
        <v>5.9418289889424907</v>
      </c>
    </row>
    <row r="18" spans="1:9" ht="15.75" thickBot="1" x14ac:dyDescent="0.3">
      <c r="A18" s="2" t="s">
        <v>51</v>
      </c>
      <c r="B18" s="2">
        <v>-8.2829116257426352E-2</v>
      </c>
      <c r="C18" s="2">
        <v>2.7319976603597005E-2</v>
      </c>
      <c r="D18" s="2">
        <v>-3.0318150509148274</v>
      </c>
      <c r="E18" s="2">
        <v>6.5862994600360729E-3</v>
      </c>
      <c r="F18" s="2">
        <v>-0.13981758883268833</v>
      </c>
      <c r="G18" s="2">
        <v>-2.584064368216437E-2</v>
      </c>
      <c r="H18" s="2">
        <v>-0.13981758883268833</v>
      </c>
      <c r="I18" s="2">
        <v>-2.584064368216437E-2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LAPY</dc:creator>
  <cp:lastModifiedBy>DELL LAPY</cp:lastModifiedBy>
  <dcterms:created xsi:type="dcterms:W3CDTF">2026-04-06T07:41:41Z</dcterms:created>
  <dcterms:modified xsi:type="dcterms:W3CDTF">2026-09-26T14:47:13Z</dcterms:modified>
</cp:coreProperties>
</file>